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nie\OneDrive\Desktop\U14 PISA\"/>
    </mc:Choice>
  </mc:AlternateContent>
  <xr:revisionPtr revIDLastSave="0" documentId="13_ncr:1_{BBBE3A33-DECA-4846-833D-C4CE14A8D8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grafica_Esercitazioni" sheetId="1" r:id="rId1"/>
    <sheet name="Storico_GPS" sheetId="2" r:id="rId2"/>
    <sheet name="Parametri_GPS_Minut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C7" i="3"/>
  <c r="D7" i="3"/>
  <c r="E7" i="3"/>
  <c r="F7" i="3"/>
  <c r="G7" i="3"/>
  <c r="H7" i="3"/>
  <c r="I7" i="3"/>
  <c r="J7" i="3"/>
  <c r="D5" i="3"/>
  <c r="E5" i="3"/>
  <c r="F5" i="3"/>
  <c r="G5" i="3"/>
  <c r="H5" i="3"/>
  <c r="I5" i="3"/>
  <c r="J5" i="3"/>
  <c r="C2" i="3"/>
  <c r="J4" i="3"/>
  <c r="J3" i="3"/>
  <c r="J2" i="3"/>
  <c r="I4" i="3"/>
  <c r="I3" i="3"/>
  <c r="I2" i="3"/>
  <c r="H4" i="3"/>
  <c r="H3" i="3"/>
  <c r="H2" i="3"/>
  <c r="G4" i="3"/>
  <c r="G3" i="3"/>
  <c r="G2" i="3"/>
  <c r="F4" i="3"/>
  <c r="F3" i="3"/>
  <c r="F2" i="3"/>
  <c r="E4" i="3"/>
  <c r="E3" i="3"/>
  <c r="E2" i="3"/>
  <c r="D4" i="3"/>
  <c r="D3" i="3"/>
  <c r="D2" i="3"/>
  <c r="C5" i="3"/>
  <c r="C4" i="3"/>
  <c r="C3" i="3"/>
</calcChain>
</file>

<file path=xl/sharedStrings.xml><?xml version="1.0" encoding="utf-8"?>
<sst xmlns="http://schemas.openxmlformats.org/spreadsheetml/2006/main" count="42" uniqueCount="32">
  <si>
    <t>mantenimento pressione e transizione</t>
  </si>
  <si>
    <t>partita a tema</t>
  </si>
  <si>
    <t>transizione negativa e attacco rapido</t>
  </si>
  <si>
    <t>navette 10-20-30</t>
  </si>
  <si>
    <t>lavoro intermittente metabolico</t>
  </si>
  <si>
    <t>total dist. (m)</t>
  </si>
  <si>
    <t>z2 (m)</t>
  </si>
  <si>
    <t>z3 (m)</t>
  </si>
  <si>
    <t>n° sprint</t>
  </si>
  <si>
    <t>n° accel.</t>
  </si>
  <si>
    <t>n° decel.</t>
  </si>
  <si>
    <t>n° burst</t>
  </si>
  <si>
    <t>n° breaks</t>
  </si>
  <si>
    <t>esercitazione_ID</t>
  </si>
  <si>
    <t>Esercitazione_ID</t>
  </si>
  <si>
    <t>Nome_Esercitazione</t>
  </si>
  <si>
    <t>Categoria</t>
  </si>
  <si>
    <t>Obiettivo</t>
  </si>
  <si>
    <t>minuti</t>
  </si>
  <si>
    <t xml:space="preserve">Attivazione </t>
  </si>
  <si>
    <t>cerchio tecnico</t>
  </si>
  <si>
    <t>tecnico-tattica</t>
  </si>
  <si>
    <t>possesso</t>
  </si>
  <si>
    <t>4v4 + 3j</t>
  </si>
  <si>
    <t>riscaldamento tecnico</t>
  </si>
  <si>
    <t>7vs6</t>
  </si>
  <si>
    <t>6vs6 con meta</t>
  </si>
  <si>
    <t>sviluppi di gioco - costruzione</t>
  </si>
  <si>
    <t>preparazione atletica</t>
  </si>
  <si>
    <t>SSG</t>
  </si>
  <si>
    <t>4vs4</t>
  </si>
  <si>
    <t>smarcamento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</si>
</sst>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rgb="FF222222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43" fontId="2" fillId="0" borderId="1" xfId="1" applyFont="1" applyBorder="1" applyAlignment="1">
      <alignment horizontal="center" vertical="center"/>
    </xf>
    <xf numFmtId="43" fontId="2" fillId="0" borderId="2" xfId="1" applyFont="1" applyBorder="1" applyAlignment="1">
      <alignment horizontal="center" vertical="center"/>
    </xf>
    <xf numFmtId="0" fontId="0" fillId="0" borderId="3" xfId="0" applyBorder="1"/>
    <xf numFmtId="43" fontId="2" fillId="0" borderId="0" xfId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164" fontId="3" fillId="0" borderId="0" xfId="0" applyNumberFormat="1" applyFont="1"/>
    <xf numFmtId="164" fontId="4" fillId="0" borderId="0" xfId="0" applyNumberFormat="1" applyFont="1"/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zoomScale="95" workbookViewId="0">
      <selection activeCell="A17" sqref="A17"/>
    </sheetView>
  </sheetViews>
  <sheetFormatPr defaultRowHeight="14.4" x14ac:dyDescent="0.3"/>
  <cols>
    <col min="1" max="1" width="14.6640625" bestFit="1" customWidth="1"/>
    <col min="2" max="2" width="18" bestFit="1" customWidth="1"/>
    <col min="3" max="3" width="20.77734375" bestFit="1" customWidth="1"/>
    <col min="4" max="4" width="35.88671875" bestFit="1" customWidth="1"/>
  </cols>
  <sheetData>
    <row r="1" spans="1:4" x14ac:dyDescent="0.3">
      <c r="A1" s="3" t="s">
        <v>14</v>
      </c>
      <c r="B1" s="3" t="s">
        <v>15</v>
      </c>
      <c r="C1" s="3" t="s">
        <v>16</v>
      </c>
      <c r="D1" s="3" t="s">
        <v>17</v>
      </c>
    </row>
    <row r="2" spans="1:4" x14ac:dyDescent="0.3">
      <c r="A2">
        <v>1</v>
      </c>
      <c r="B2" t="s">
        <v>23</v>
      </c>
      <c r="C2" t="s">
        <v>22</v>
      </c>
      <c r="D2" t="s">
        <v>0</v>
      </c>
    </row>
    <row r="3" spans="1:4" x14ac:dyDescent="0.3">
      <c r="A3">
        <v>2</v>
      </c>
      <c r="B3" t="s">
        <v>26</v>
      </c>
      <c r="C3" t="s">
        <v>1</v>
      </c>
      <c r="D3" t="s">
        <v>2</v>
      </c>
    </row>
    <row r="4" spans="1:4" x14ac:dyDescent="0.3">
      <c r="A4">
        <v>3</v>
      </c>
      <c r="B4" t="s">
        <v>3</v>
      </c>
      <c r="C4" t="s">
        <v>28</v>
      </c>
      <c r="D4" t="s">
        <v>4</v>
      </c>
    </row>
    <row r="5" spans="1:4" x14ac:dyDescent="0.3">
      <c r="A5">
        <v>4</v>
      </c>
      <c r="B5" t="s">
        <v>20</v>
      </c>
      <c r="C5" t="s">
        <v>19</v>
      </c>
      <c r="D5" t="s">
        <v>24</v>
      </c>
    </row>
    <row r="6" spans="1:4" x14ac:dyDescent="0.3">
      <c r="A6">
        <v>5</v>
      </c>
      <c r="B6" t="s">
        <v>25</v>
      </c>
      <c r="C6" t="s">
        <v>21</v>
      </c>
      <c r="D6" t="s">
        <v>27</v>
      </c>
    </row>
    <row r="7" spans="1:4" x14ac:dyDescent="0.3">
      <c r="A7">
        <v>6</v>
      </c>
      <c r="B7" t="s">
        <v>30</v>
      </c>
      <c r="C7" t="s">
        <v>29</v>
      </c>
      <c r="D7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CCF22-2F96-4D0C-A889-6F10FC224EB2}">
  <dimension ref="A1:K7"/>
  <sheetViews>
    <sheetView workbookViewId="0">
      <selection activeCell="K7" sqref="K7"/>
    </sheetView>
  </sheetViews>
  <sheetFormatPr defaultRowHeight="14.4" x14ac:dyDescent="0.3"/>
  <cols>
    <col min="1" max="1" width="21.5546875" bestFit="1" customWidth="1"/>
    <col min="2" max="2" width="9.109375" bestFit="1" customWidth="1"/>
    <col min="3" max="3" width="19.6640625" bestFit="1" customWidth="1"/>
    <col min="4" max="5" width="10.6640625" bestFit="1" customWidth="1"/>
    <col min="6" max="6" width="11.44140625" bestFit="1" customWidth="1"/>
    <col min="7" max="7" width="13" bestFit="1" customWidth="1"/>
    <col min="8" max="8" width="13.44140625" bestFit="1" customWidth="1"/>
    <col min="9" max="9" width="12.5546875" bestFit="1" customWidth="1"/>
    <col min="10" max="10" width="14.33203125" bestFit="1" customWidth="1"/>
    <col min="11" max="11" width="19.33203125" bestFit="1" customWidth="1"/>
  </cols>
  <sheetData>
    <row r="1" spans="1:11" ht="21" x14ac:dyDescent="0.4">
      <c r="A1" s="6" t="s">
        <v>13</v>
      </c>
      <c r="B1" s="7" t="s">
        <v>18</v>
      </c>
      <c r="C1" s="1" t="s">
        <v>5</v>
      </c>
      <c r="D1" s="2" t="s">
        <v>6</v>
      </c>
      <c r="E1" s="2" t="s">
        <v>7</v>
      </c>
      <c r="F1" s="5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4"/>
    </row>
    <row r="2" spans="1:11" x14ac:dyDescent="0.3">
      <c r="A2">
        <v>1</v>
      </c>
      <c r="B2">
        <v>15</v>
      </c>
      <c r="C2">
        <v>2553</v>
      </c>
      <c r="D2">
        <v>2</v>
      </c>
      <c r="E2">
        <v>3</v>
      </c>
      <c r="F2">
        <v>5</v>
      </c>
      <c r="G2">
        <v>8</v>
      </c>
      <c r="H2">
        <v>5</v>
      </c>
      <c r="I2">
        <v>3</v>
      </c>
      <c r="J2">
        <v>6</v>
      </c>
    </row>
    <row r="3" spans="1:11" x14ac:dyDescent="0.3">
      <c r="A3">
        <v>2</v>
      </c>
      <c r="B3">
        <v>25</v>
      </c>
      <c r="C3">
        <v>3546</v>
      </c>
      <c r="D3">
        <v>53</v>
      </c>
      <c r="E3">
        <v>34</v>
      </c>
      <c r="F3">
        <v>7</v>
      </c>
      <c r="G3">
        <v>5</v>
      </c>
      <c r="H3">
        <v>64</v>
      </c>
      <c r="I3">
        <v>3</v>
      </c>
      <c r="J3">
        <v>23</v>
      </c>
    </row>
    <row r="4" spans="1:11" x14ac:dyDescent="0.3">
      <c r="A4">
        <v>3</v>
      </c>
      <c r="B4">
        <v>30</v>
      </c>
      <c r="C4">
        <v>2443</v>
      </c>
      <c r="D4">
        <v>54</v>
      </c>
      <c r="E4">
        <v>43</v>
      </c>
      <c r="F4">
        <v>34</v>
      </c>
      <c r="G4">
        <v>22</v>
      </c>
      <c r="H4">
        <v>55</v>
      </c>
      <c r="I4">
        <v>65</v>
      </c>
      <c r="J4">
        <v>75</v>
      </c>
    </row>
    <row r="5" spans="1:11" x14ac:dyDescent="0.3">
      <c r="A5">
        <v>4</v>
      </c>
      <c r="B5">
        <v>20</v>
      </c>
      <c r="C5">
        <v>2234</v>
      </c>
      <c r="D5">
        <v>22</v>
      </c>
      <c r="E5">
        <v>234</v>
      </c>
      <c r="F5">
        <v>34</v>
      </c>
      <c r="G5">
        <v>32</v>
      </c>
      <c r="H5">
        <v>23</v>
      </c>
      <c r="I5">
        <v>53</v>
      </c>
      <c r="J5">
        <v>55</v>
      </c>
    </row>
    <row r="6" spans="1:11" x14ac:dyDescent="0.3">
      <c r="A6">
        <v>5</v>
      </c>
      <c r="B6">
        <v>10</v>
      </c>
      <c r="C6">
        <v>1000</v>
      </c>
      <c r="D6">
        <v>2</v>
      </c>
      <c r="E6">
        <v>4</v>
      </c>
      <c r="F6">
        <v>8</v>
      </c>
      <c r="G6">
        <v>9</v>
      </c>
      <c r="H6">
        <v>6</v>
      </c>
      <c r="I6">
        <v>4</v>
      </c>
      <c r="J6">
        <v>12</v>
      </c>
    </row>
    <row r="7" spans="1:11" x14ac:dyDescent="0.3">
      <c r="A7">
        <v>6</v>
      </c>
      <c r="B7">
        <v>12</v>
      </c>
      <c r="C7">
        <v>3434</v>
      </c>
      <c r="D7">
        <v>22</v>
      </c>
      <c r="E7">
        <v>23</v>
      </c>
      <c r="F7">
        <v>54</v>
      </c>
      <c r="G7">
        <v>5</v>
      </c>
      <c r="H7">
        <v>7</v>
      </c>
      <c r="I7">
        <v>5</v>
      </c>
      <c r="J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B03B1-A124-4B1C-84EC-38D6C134DAB0}">
  <dimension ref="A1:J7"/>
  <sheetViews>
    <sheetView zoomScaleNormal="100" workbookViewId="0">
      <selection activeCell="E12" sqref="E12"/>
    </sheetView>
  </sheetViews>
  <sheetFormatPr defaultRowHeight="14.4" x14ac:dyDescent="0.3"/>
  <cols>
    <col min="1" max="1" width="21.5546875" bestFit="1" customWidth="1"/>
    <col min="2" max="2" width="9.109375" bestFit="1" customWidth="1"/>
    <col min="3" max="3" width="19.6640625" bestFit="1" customWidth="1"/>
    <col min="4" max="5" width="10.6640625" bestFit="1" customWidth="1"/>
    <col min="6" max="6" width="11.44140625" bestFit="1" customWidth="1"/>
    <col min="7" max="7" width="13" bestFit="1" customWidth="1"/>
    <col min="8" max="8" width="13.44140625" bestFit="1" customWidth="1"/>
    <col min="9" max="9" width="9.109375" customWidth="1"/>
    <col min="10" max="10" width="14.33203125" bestFit="1" customWidth="1"/>
  </cols>
  <sheetData>
    <row r="1" spans="1:10" ht="21" x14ac:dyDescent="0.4">
      <c r="A1" s="6" t="s">
        <v>13</v>
      </c>
      <c r="B1" s="7" t="s">
        <v>18</v>
      </c>
      <c r="C1" s="1" t="s">
        <v>5</v>
      </c>
      <c r="D1" s="2" t="s">
        <v>6</v>
      </c>
      <c r="E1" s="2" t="s">
        <v>7</v>
      </c>
      <c r="F1" s="5" t="s">
        <v>8</v>
      </c>
      <c r="G1" s="2" t="s">
        <v>9</v>
      </c>
      <c r="H1" s="2" t="s">
        <v>10</v>
      </c>
      <c r="I1" s="2" t="s">
        <v>11</v>
      </c>
      <c r="J1" s="2" t="s">
        <v>12</v>
      </c>
    </row>
    <row r="2" spans="1:10" ht="15.6" x14ac:dyDescent="0.3">
      <c r="A2">
        <v>1</v>
      </c>
      <c r="B2">
        <v>1</v>
      </c>
      <c r="C2" s="8">
        <f>IFERROR(AVERAGEIF(Storico_GPS!$A$2:$A$1000, A2, Storico_GPS!$C$2:$C$1000) / AVERAGEIF(Storico_GPS!$A$2:$A$1000, A2, Storico_GPS!$B$2:$B$1000), 0)</f>
        <v>170.2</v>
      </c>
      <c r="D2" s="9">
        <f>IFERROR(AVERAGEIF(Storico_GPS!$A$2:$A$1000, A2, Storico_GPS!$D$2:$D$1000) / AVERAGEIF(Storico_GPS!$A$2:$A$1000, A2, Storico_GPS!$B$2:$B$1000), 0)</f>
        <v>0.13333333333333333</v>
      </c>
      <c r="E2" s="9">
        <f>IFERROR(AVERAGEIF(Storico_GPS!$A$2:$A$1000, A2, Storico_GPS!$E$2:$E$1000) / AVERAGEIF(Storico_GPS!$A$2:$A$1000, A2, Storico_GPS!$B$2:$B$1000), 0)</f>
        <v>0.2</v>
      </c>
      <c r="F2" s="8">
        <f>IFERROR(AVERAGEIF(Storico_GPS!$A$2:$A$1000, A2, Storico_GPS!$F$2:$F$1000) / AVERAGEIF(Storico_GPS!$A$2:$A$1000, A2, Storico_GPS!$B$2:$B$1000), 0)</f>
        <v>0.33333333333333331</v>
      </c>
      <c r="G2" s="9">
        <f>IFERROR(AVERAGEIF(Storico_GPS!$A$2:$A$1000, A2, Storico_GPS!$G$2:$G$1000) / AVERAGEIF(Storico_GPS!$A$2:$A$1000, A2, Storico_GPS!$B$2:$B$1000), 0)</f>
        <v>0.53333333333333333</v>
      </c>
      <c r="H2" s="8">
        <f>IFERROR(AVERAGEIF(Storico_GPS!$A$2:$A$1000, A2, Storico_GPS!$H$2:$H$1000) / AVERAGEIF(Storico_GPS!$A$2:$A$1000, A2, Storico_GPS!$B$2:$B$1000), 0)</f>
        <v>0.33333333333333331</v>
      </c>
      <c r="I2" s="8">
        <f>IFERROR(AVERAGEIF(Storico_GPS!$A$2:$A$1000, A2, Storico_GPS!$I$2:$I$1000) / AVERAGEIF(Storico_GPS!$A$2:$A$1000, A2, Storico_GPS!$B$2:$B$1000), 0)</f>
        <v>0.2</v>
      </c>
      <c r="J2" s="8">
        <f>IFERROR(AVERAGEIF(Storico_GPS!$A$2:$A$1000, A2, Storico_GPS!$J$2:$J$1000) / AVERAGEIF(Storico_GPS!$A$2:$A$1000, A2, Storico_GPS!$B$2:$B$1000), 0)</f>
        <v>0.4</v>
      </c>
    </row>
    <row r="3" spans="1:10" ht="15.6" x14ac:dyDescent="0.3">
      <c r="A3">
        <v>2</v>
      </c>
      <c r="B3">
        <v>1</v>
      </c>
      <c r="C3" s="8">
        <f>IFERROR(AVERAGEIF(Storico_GPS!$A$2:$A$1000, A3, Storico_GPS!$C$2:$C$1000) / AVERAGEIF(Storico_GPS!$A$2:$A$1000, A3, Storico_GPS!$B$2:$B$1000), 0)</f>
        <v>141.84</v>
      </c>
      <c r="D3" s="9">
        <f>IFERROR(AVERAGEIF(Storico_GPS!$A$2:$A$1000, A3, Storico_GPS!$D$2:$D$1000) / AVERAGEIF(Storico_GPS!$A$2:$A$1000, A3, Storico_GPS!$B$2:$B$1000), 0)</f>
        <v>2.12</v>
      </c>
      <c r="E3" s="9">
        <f>IFERROR(AVERAGEIF(Storico_GPS!$A$2:$A$1000, A3, Storico_GPS!$E$2:$E$1000) / AVERAGEIF(Storico_GPS!$A$2:$A$1000, A3, Storico_GPS!$B$2:$B$1000), 0)</f>
        <v>1.36</v>
      </c>
      <c r="F3" s="8">
        <f>IFERROR(AVERAGEIF(Storico_GPS!$A$2:$A$1000, A3, Storico_GPS!$F$2:$F$1000) / AVERAGEIF(Storico_GPS!$A$2:$A$1000, A3, Storico_GPS!$B$2:$B$1000), 0)</f>
        <v>0.28000000000000003</v>
      </c>
      <c r="G3" s="9">
        <f>IFERROR(AVERAGEIF(Storico_GPS!$A$2:$A$1000, A3, Storico_GPS!$G$2:$G$1000) / AVERAGEIF(Storico_GPS!$A$2:$A$1000, A3, Storico_GPS!$B$2:$B$1000), 0)</f>
        <v>0.2</v>
      </c>
      <c r="H3" s="8">
        <f>IFERROR(AVERAGEIF(Storico_GPS!$A$2:$A$1000, A3, Storico_GPS!$H$2:$H$1000) / AVERAGEIF(Storico_GPS!$A$2:$A$1000, A3, Storico_GPS!$B$2:$B$1000), 0)</f>
        <v>2.56</v>
      </c>
      <c r="I3" s="8">
        <f>IFERROR(AVERAGEIF(Storico_GPS!$A$2:$A$1000, A3, Storico_GPS!$I$2:$I$1000) / AVERAGEIF(Storico_GPS!$A$2:$A$1000, A3, Storico_GPS!$B$2:$B$1000), 0)</f>
        <v>0.12</v>
      </c>
      <c r="J3" s="8">
        <f>IFERROR(AVERAGEIF(Storico_GPS!$A$2:$A$1000, A3, Storico_GPS!$J$2:$J$1000) / AVERAGEIF(Storico_GPS!$A$2:$A$1000, A3, Storico_GPS!$B$2:$B$1000), 0)</f>
        <v>0.92</v>
      </c>
    </row>
    <row r="4" spans="1:10" ht="15.6" x14ac:dyDescent="0.3">
      <c r="A4">
        <v>3</v>
      </c>
      <c r="B4">
        <v>1</v>
      </c>
      <c r="C4" s="8">
        <f>IFERROR(AVERAGEIF(Storico_GPS!$A$2:$A$1000, A4, Storico_GPS!$C$2:$C$1000) / AVERAGEIF(Storico_GPS!$A$2:$A$1000, A4, Storico_GPS!$B$2:$B$1000), 0)</f>
        <v>81.433333333333337</v>
      </c>
      <c r="D4" s="9">
        <f>IFERROR(AVERAGEIF(Storico_GPS!$A$2:$A$1000, A4, Storico_GPS!$D$2:$D$1000) / AVERAGEIF(Storico_GPS!$A$2:$A$1000, A4, Storico_GPS!$B$2:$B$1000), 0)</f>
        <v>1.8</v>
      </c>
      <c r="E4" s="9">
        <f>IFERROR(AVERAGEIF(Storico_GPS!$A$2:$A$1000, A4, Storico_GPS!$E$2:$E$1000) / AVERAGEIF(Storico_GPS!$A$2:$A$1000, A4, Storico_GPS!$B$2:$B$1000), 0)</f>
        <v>1.4333333333333333</v>
      </c>
      <c r="F4" s="8">
        <f>IFERROR(AVERAGEIF(Storico_GPS!$A$2:$A$1000, A4, Storico_GPS!$F$2:$F$1000) / AVERAGEIF(Storico_GPS!$A$2:$A$1000, A4, Storico_GPS!$B$2:$B$1000), 0)</f>
        <v>1.1333333333333333</v>
      </c>
      <c r="G4" s="9">
        <f>IFERROR(AVERAGEIF(Storico_GPS!$A$2:$A$1000, A4, Storico_GPS!$G$2:$G$1000) / AVERAGEIF(Storico_GPS!$A$2:$A$1000, A4, Storico_GPS!$B$2:$B$1000), 0)</f>
        <v>0.73333333333333328</v>
      </c>
      <c r="H4" s="8">
        <f>IFERROR(AVERAGEIF(Storico_GPS!$A$2:$A$1000, A4, Storico_GPS!$H$2:$H$1000) / AVERAGEIF(Storico_GPS!$A$2:$A$1000, A4, Storico_GPS!$B$2:$B$1000), 0)</f>
        <v>1.8333333333333333</v>
      </c>
      <c r="I4" s="8">
        <f>IFERROR(AVERAGEIF(Storico_GPS!$A$2:$A$1000, A4, Storico_GPS!$I$2:$I$1000) / AVERAGEIF(Storico_GPS!$A$2:$A$1000, A4, Storico_GPS!$B$2:$B$1000), 0)</f>
        <v>2.1666666666666665</v>
      </c>
      <c r="J4" s="8">
        <f>IFERROR(AVERAGEIF(Storico_GPS!$A$2:$A$1000, A4, Storico_GPS!$J$2:$J$1000) / AVERAGEIF(Storico_GPS!$A$2:$A$1000, A4, Storico_GPS!$B$2:$B$1000), 0)</f>
        <v>2.5</v>
      </c>
    </row>
    <row r="5" spans="1:10" ht="15.6" x14ac:dyDescent="0.3">
      <c r="A5">
        <v>4</v>
      </c>
      <c r="B5">
        <v>1</v>
      </c>
      <c r="C5" s="8">
        <f>IFERROR(AVERAGEIF(Storico_GPS!$A$2:$A$1000, A5, Storico_GPS!$C$2:$C$1000) / AVERAGEIF(Storico_GPS!$A$2:$A$1000, A5, Storico_GPS!$B$2:$B$1000), 0)</f>
        <v>111.7</v>
      </c>
      <c r="D5" s="9">
        <f>IFERROR(AVERAGEIF(Storico_GPS!$A$2:$A$1000, A5, Storico_GPS!$D$2:$D$1000) / AVERAGEIF(Storico_GPS!$A$2:$A$1000, A5, Storico_GPS!$B$2:$B$1000), 0)</f>
        <v>1.1000000000000001</v>
      </c>
      <c r="E5" s="9">
        <f>IFERROR(AVERAGEIF(Storico_GPS!$A$2:$A$1000, A5, Storico_GPS!$E$2:$E$1000) / AVERAGEIF(Storico_GPS!$A$2:$A$1000, A5, Storico_GPS!$B$2:$B$1000), 0)</f>
        <v>11.7</v>
      </c>
      <c r="F5" s="8">
        <f>IFERROR(AVERAGEIF(Storico_GPS!$A$2:$A$1000, A5, Storico_GPS!$F$2:$F$1000) / AVERAGEIF(Storico_GPS!$A$2:$A$1000, A5, Storico_GPS!$B$2:$B$1000), 0)</f>
        <v>1.7</v>
      </c>
      <c r="G5" s="9">
        <f>IFERROR(AVERAGEIF(Storico_GPS!$A$2:$A$1000, A5, Storico_GPS!$G$2:$G$1000) / AVERAGEIF(Storico_GPS!$A$2:$A$1000, A5, Storico_GPS!$B$2:$B$1000), 0)</f>
        <v>1.6</v>
      </c>
      <c r="H5" s="8">
        <f>IFERROR(AVERAGEIF(Storico_GPS!$A$2:$A$1000, A5, Storico_GPS!$H$2:$H$1000) / AVERAGEIF(Storico_GPS!$A$2:$A$1000, A5, Storico_GPS!$B$2:$B$1000), 0)</f>
        <v>1.1499999999999999</v>
      </c>
      <c r="I5" s="8">
        <f>IFERROR(AVERAGEIF(Storico_GPS!$A$2:$A$1000, A5, Storico_GPS!$I$2:$I$1000) / AVERAGEIF(Storico_GPS!$A$2:$A$1000, A5, Storico_GPS!$B$2:$B$1000), 0)</f>
        <v>2.65</v>
      </c>
      <c r="J5" s="8">
        <f>IFERROR(AVERAGEIF(Storico_GPS!$A$2:$A$1000, A5, Storico_GPS!$J$2:$J$1000) / AVERAGEIF(Storico_GPS!$A$2:$A$1000, A5, Storico_GPS!$B$2:$B$1000), 0)</f>
        <v>2.75</v>
      </c>
    </row>
    <row r="6" spans="1:10" ht="15.6" x14ac:dyDescent="0.3">
      <c r="A6">
        <v>5</v>
      </c>
      <c r="B6">
        <v>1</v>
      </c>
      <c r="C6" s="8">
        <f>IFERROR(AVERAGEIF(Storico_GPS!$A$2:$A$1000, A6, Storico_GPS!$C$2:$C$1000) / AVERAGEIF(Storico_GPS!$A$2:$A$1000, A6, Storico_GPS!$B$2:$B$1000), 0)</f>
        <v>100</v>
      </c>
      <c r="D6" s="9">
        <f>IFERROR(AVERAGEIF(Storico_GPS!$A$2:$A$1000, A6, Storico_GPS!$D$2:$D$1000) / AVERAGEIF(Storico_GPS!$A$2:$A$1000, A6, Storico_GPS!$B$2:$B$1000), 0)</f>
        <v>0.2</v>
      </c>
      <c r="E6" s="9">
        <f>IFERROR(AVERAGEIF(Storico_GPS!$A$2:$A$1000, A6, Storico_GPS!$E$2:$E$1000) / AVERAGEIF(Storico_GPS!$A$2:$A$1000, A6, Storico_GPS!$B$2:$B$1000), 0)</f>
        <v>0.4</v>
      </c>
      <c r="F6" s="8">
        <f>IFERROR(AVERAGEIF(Storico_GPS!$A$2:$A$1000, A6, Storico_GPS!$F$2:$F$1000) / AVERAGEIF(Storico_GPS!$A$2:$A$1000, A6, Storico_GPS!$B$2:$B$1000), 0)</f>
        <v>0.8</v>
      </c>
      <c r="G6" s="9">
        <f>IFERROR(AVERAGEIF(Storico_GPS!$A$2:$A$1000, A6, Storico_GPS!$G$2:$G$1000) / AVERAGEIF(Storico_GPS!$A$2:$A$1000, A6, Storico_GPS!$B$2:$B$1000), 0)</f>
        <v>0.9</v>
      </c>
      <c r="H6" s="8">
        <f>IFERROR(AVERAGEIF(Storico_GPS!$A$2:$A$1000, A6, Storico_GPS!$H$2:$H$1000) / AVERAGEIF(Storico_GPS!$A$2:$A$1000, A6, Storico_GPS!$B$2:$B$1000), 0)</f>
        <v>0.6</v>
      </c>
      <c r="I6" s="8">
        <f>IFERROR(AVERAGEIF(Storico_GPS!$A$2:$A$1000, A6, Storico_GPS!$I$2:$I$1000) / AVERAGEIF(Storico_GPS!$A$2:$A$1000, A6, Storico_GPS!$B$2:$B$1000), 0)</f>
        <v>0.4</v>
      </c>
      <c r="J6" s="8">
        <f>IFERROR(AVERAGEIF(Storico_GPS!$A$2:$A$1000, A6, Storico_GPS!$J$2:$J$1000) / AVERAGEIF(Storico_GPS!$A$2:$A$1000, A6, Storico_GPS!$B$2:$B$1000), 0)</f>
        <v>1.2</v>
      </c>
    </row>
    <row r="7" spans="1:10" ht="15.6" x14ac:dyDescent="0.3">
      <c r="A7">
        <v>6</v>
      </c>
      <c r="B7">
        <v>1</v>
      </c>
      <c r="C7" s="8">
        <f>IFERROR(AVERAGEIF(Storico_GPS!$A$2:$A$1000, A7, Storico_GPS!$C$2:$C$1000) / AVERAGEIF(Storico_GPS!$A$2:$A$1000, A7, Storico_GPS!$B$2:$B$1000), 0)</f>
        <v>286.16666666666669</v>
      </c>
      <c r="D7" s="9">
        <f>IFERROR(AVERAGEIF(Storico_GPS!$A$2:$A$1000, A7, Storico_GPS!$D$2:$D$1000) / AVERAGEIF(Storico_GPS!$A$2:$A$1000, A7, Storico_GPS!$B$2:$B$1000), 0)</f>
        <v>1.8333333333333333</v>
      </c>
      <c r="E7" s="9">
        <f>IFERROR(AVERAGEIF(Storico_GPS!$A$2:$A$1000, A7, Storico_GPS!$E$2:$E$1000) / AVERAGEIF(Storico_GPS!$A$2:$A$1000, A7, Storico_GPS!$B$2:$B$1000), 0)</f>
        <v>1.9166666666666667</v>
      </c>
      <c r="F7" s="8">
        <f>IFERROR(AVERAGEIF(Storico_GPS!$A$2:$A$1000, A7, Storico_GPS!$F$2:$F$1000) / AVERAGEIF(Storico_GPS!$A$2:$A$1000, A7, Storico_GPS!$B$2:$B$1000), 0)</f>
        <v>4.5</v>
      </c>
      <c r="G7" s="9">
        <f>IFERROR(AVERAGEIF(Storico_GPS!$A$2:$A$1000, A7, Storico_GPS!$G$2:$G$1000) / AVERAGEIF(Storico_GPS!$A$2:$A$1000, A7, Storico_GPS!$B$2:$B$1000), 0)</f>
        <v>0.41666666666666669</v>
      </c>
      <c r="H7" s="8">
        <f>IFERROR(AVERAGEIF(Storico_GPS!$A$2:$A$1000, A7, Storico_GPS!$H$2:$H$1000) / AVERAGEIF(Storico_GPS!$A$2:$A$1000, A7, Storico_GPS!$B$2:$B$1000), 0)</f>
        <v>0.58333333333333337</v>
      </c>
      <c r="I7" s="8">
        <f>IFERROR(AVERAGEIF(Storico_GPS!$A$2:$A$1000, A7, Storico_GPS!$I$2:$I$1000) / AVERAGEIF(Storico_GPS!$A$2:$A$1000, A7, Storico_GPS!$B$2:$B$1000), 0)</f>
        <v>0.41666666666666669</v>
      </c>
      <c r="J7" s="8">
        <f>IFERROR(AVERAGEIF(Storico_GPS!$A$2:$A$1000, A7, Storico_GPS!$J$2:$J$1000) / AVERAGEIF(Storico_GPS!$A$2:$A$1000, A7, Storico_GPS!$B$2:$B$1000), 0)</f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Anagrafica_Esercitazioni</vt:lpstr>
      <vt:lpstr>Storico_GPS</vt:lpstr>
      <vt:lpstr>Parametri_GPS_Minuto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Del Grande</dc:creator>
  <cp:lastModifiedBy>Daniele Del Grande</cp:lastModifiedBy>
  <dcterms:created xsi:type="dcterms:W3CDTF">2015-06-05T18:19:34Z</dcterms:created>
  <dcterms:modified xsi:type="dcterms:W3CDTF">2026-10-06T10:01:25Z</dcterms:modified>
</cp:coreProperties>
</file>